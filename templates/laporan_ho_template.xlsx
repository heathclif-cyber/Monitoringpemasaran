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1df9ccbfbcda1f/Documents/"/>
    </mc:Choice>
  </mc:AlternateContent>
  <xr:revisionPtr revIDLastSave="1" documentId="8_{98DFA6D9-6307-4ADF-ADC6-5402BBF99D92}" xr6:coauthVersionLast="47" xr6:coauthVersionMax="47" xr10:uidLastSave="{3174247A-0800-4974-8720-EEA8437A395A}"/>
  <bookViews>
    <workbookView xWindow="-20610" yWindow="-120" windowWidth="20730" windowHeight="11040" xr2:uid="{A47C833B-BE79-4204-97A2-A1C0FA0F0B41}"/>
  </bookViews>
  <sheets>
    <sheet name="RSC 8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6" i="2" l="1"/>
  <c r="H144" i="2"/>
  <c r="F144" i="2"/>
  <c r="E144" i="2"/>
  <c r="E146" i="2" s="1"/>
  <c r="H141" i="2"/>
  <c r="E141" i="2"/>
  <c r="H140" i="2"/>
  <c r="H142" i="2" s="1"/>
  <c r="E140" i="2"/>
  <c r="E142" i="2" s="1"/>
  <c r="F135" i="2"/>
  <c r="I133" i="2"/>
  <c r="G133" i="2"/>
  <c r="F133" i="2"/>
  <c r="D133" i="2"/>
  <c r="I132" i="2"/>
  <c r="G132" i="2"/>
  <c r="F132" i="2"/>
  <c r="D132" i="2"/>
  <c r="I131" i="2"/>
  <c r="G131" i="2"/>
  <c r="F131" i="2"/>
  <c r="D131" i="2"/>
  <c r="I130" i="2"/>
  <c r="G130" i="2"/>
  <c r="F130" i="2"/>
  <c r="D130" i="2"/>
  <c r="I129" i="2"/>
  <c r="G129" i="2"/>
  <c r="F129" i="2"/>
  <c r="D129" i="2"/>
  <c r="I128" i="2"/>
  <c r="G128" i="2"/>
  <c r="F128" i="2"/>
  <c r="D128" i="2"/>
  <c r="I127" i="2"/>
  <c r="G127" i="2"/>
  <c r="F127" i="2"/>
  <c r="D127" i="2"/>
  <c r="I125" i="2"/>
  <c r="F125" i="2"/>
  <c r="D125" i="2"/>
  <c r="I124" i="2"/>
  <c r="F124" i="2"/>
  <c r="D124" i="2"/>
  <c r="I123" i="2"/>
  <c r="I122" i="2"/>
  <c r="G122" i="2"/>
  <c r="F122" i="2"/>
  <c r="D122" i="2"/>
  <c r="I121" i="2"/>
  <c r="H121" i="2" s="1"/>
  <c r="G121" i="2"/>
  <c r="F121" i="2"/>
  <c r="D121" i="2"/>
  <c r="I120" i="2"/>
  <c r="G120" i="2"/>
  <c r="F120" i="2"/>
  <c r="D120" i="2"/>
  <c r="I119" i="2"/>
  <c r="G119" i="2"/>
  <c r="F119" i="2"/>
  <c r="D119" i="2"/>
  <c r="I118" i="2"/>
  <c r="G118" i="2"/>
  <c r="F118" i="2"/>
  <c r="D118" i="2"/>
  <c r="I117" i="2"/>
  <c r="G117" i="2"/>
  <c r="F117" i="2"/>
  <c r="D117" i="2"/>
  <c r="I116" i="2"/>
  <c r="I115" i="2"/>
  <c r="G115" i="2"/>
  <c r="F115" i="2"/>
  <c r="D115" i="2"/>
  <c r="I114" i="2"/>
  <c r="G114" i="2"/>
  <c r="F114" i="2"/>
  <c r="D114" i="2"/>
  <c r="I113" i="2"/>
  <c r="G113" i="2"/>
  <c r="F113" i="2"/>
  <c r="D113" i="2"/>
  <c r="I112" i="2"/>
  <c r="G112" i="2"/>
  <c r="F112" i="2"/>
  <c r="D112" i="2"/>
  <c r="I111" i="2"/>
  <c r="G111" i="2"/>
  <c r="F111" i="2"/>
  <c r="D111" i="2"/>
  <c r="I109" i="2"/>
  <c r="G109" i="2"/>
  <c r="F109" i="2"/>
  <c r="D109" i="2"/>
  <c r="I108" i="2"/>
  <c r="G108" i="2"/>
  <c r="F108" i="2"/>
  <c r="D108" i="2"/>
  <c r="I107" i="2"/>
  <c r="G107" i="2"/>
  <c r="F107" i="2"/>
  <c r="D107" i="2"/>
  <c r="I106" i="2"/>
  <c r="G106" i="2"/>
  <c r="F106" i="2"/>
  <c r="D106" i="2"/>
  <c r="I105" i="2"/>
  <c r="I135" i="2" s="1"/>
  <c r="G105" i="2"/>
  <c r="G135" i="2" s="1"/>
  <c r="F105" i="2"/>
  <c r="D105" i="2"/>
  <c r="D135" i="2" s="1"/>
  <c r="I101" i="2"/>
  <c r="I144" i="2" s="1"/>
  <c r="I146" i="2" s="1"/>
  <c r="I148" i="2" s="1"/>
  <c r="G101" i="2"/>
  <c r="G144" i="2" s="1"/>
  <c r="G146" i="2" s="1"/>
  <c r="G148" i="2" s="1"/>
  <c r="F101" i="2"/>
  <c r="D101" i="2"/>
  <c r="D144" i="2" s="1"/>
  <c r="I68" i="2"/>
  <c r="I141" i="2" s="1"/>
  <c r="G68" i="2"/>
  <c r="G141" i="2" s="1"/>
  <c r="F68" i="2"/>
  <c r="F141" i="2" s="1"/>
  <c r="D68" i="2"/>
  <c r="D141" i="2" s="1"/>
  <c r="I36" i="2"/>
  <c r="I140" i="2" s="1"/>
  <c r="I142" i="2" s="1"/>
  <c r="G36" i="2"/>
  <c r="G140" i="2" s="1"/>
  <c r="G142" i="2" s="1"/>
  <c r="F36" i="2"/>
  <c r="F140" i="2" s="1"/>
  <c r="F142" i="2" s="1"/>
  <c r="D36" i="2"/>
  <c r="D140" i="2" s="1"/>
  <c r="F146" i="2" l="1"/>
  <c r="F148" i="2" s="1"/>
  <c r="H135" i="2"/>
  <c r="D142" i="2"/>
  <c r="D146" i="2"/>
  <c r="D148" i="2" s="1"/>
  <c r="E135" i="2"/>
  <c r="E148" i="2" s="1"/>
  <c r="H148" i="2"/>
</calcChain>
</file>

<file path=xl/sharedStrings.xml><?xml version="1.0" encoding="utf-8"?>
<sst xmlns="http://schemas.openxmlformats.org/spreadsheetml/2006/main" count="143" uniqueCount="55">
  <si>
    <t>NOTE: Untuk Komoditas Karet, Teh, Kopi, dan Kakao mohon diisikan sesuai uraian per mutunya</t>
  </si>
  <si>
    <t>Uraian</t>
  </si>
  <si>
    <t xml:space="preserve">   Bulan Juni 2026</t>
  </si>
  <si>
    <t xml:space="preserve">   S/d. Bulan Juni 2026</t>
  </si>
  <si>
    <t>Realisasi</t>
  </si>
  <si>
    <t>Kuantum (Kg)</t>
  </si>
  <si>
    <t>Per Unit (Kg)</t>
  </si>
  <si>
    <t>Nilai</t>
  </si>
  <si>
    <t>Ekspor ($)</t>
  </si>
  <si>
    <t>Minyak Sawit</t>
  </si>
  <si>
    <t>Inti Sawit</t>
  </si>
  <si>
    <t>PKO</t>
  </si>
  <si>
    <t>PKM</t>
  </si>
  <si>
    <t>TBS</t>
  </si>
  <si>
    <t>Karet</t>
  </si>
  <si>
    <t>- RSS 1</t>
  </si>
  <si>
    <t>- SIR 10</t>
  </si>
  <si>
    <t>- SIR 20</t>
  </si>
  <si>
    <t>- Lateks Pekat</t>
  </si>
  <si>
    <t>Teh</t>
  </si>
  <si>
    <t>- Teh CTC</t>
  </si>
  <si>
    <t>- Teh Orthodox</t>
  </si>
  <si>
    <t>- Teh Hijau</t>
  </si>
  <si>
    <t>- Lainnya</t>
  </si>
  <si>
    <t>Gula</t>
  </si>
  <si>
    <t>Tetes</t>
  </si>
  <si>
    <t>Kopi</t>
  </si>
  <si>
    <t>- Kopi Arabika</t>
  </si>
  <si>
    <t>- Kopi Robusta</t>
  </si>
  <si>
    <t>Kakao</t>
  </si>
  <si>
    <t>- Kakao Edel</t>
  </si>
  <si>
    <t>- Kakao Bulk</t>
  </si>
  <si>
    <t>Kayu</t>
  </si>
  <si>
    <t>Tembakau</t>
  </si>
  <si>
    <t>Hortikultura</t>
  </si>
  <si>
    <t>Forestry</t>
  </si>
  <si>
    <t>Jumlah Ekspor ($)</t>
  </si>
  <si>
    <t>Ekspor (Rp)</t>
  </si>
  <si>
    <t>Jumlah Ekspor (Rp)</t>
  </si>
  <si>
    <t>Lokal (Rp)</t>
  </si>
  <si>
    <t>- Lainnya (BC)</t>
  </si>
  <si>
    <t>Lain-lain</t>
  </si>
  <si>
    <t>Jumlah Lokal</t>
  </si>
  <si>
    <t>Ekspor (Rp) + Lokal (Rp)</t>
  </si>
  <si>
    <t>TOTAL</t>
  </si>
  <si>
    <t>Penjualan Ekspor;</t>
  </si>
  <si>
    <t>- Penjualan Ekspor Dalam Dolar</t>
  </si>
  <si>
    <t>- Penjualan Ekspor Dalam Rupiah</t>
  </si>
  <si>
    <t>- Selisih</t>
  </si>
  <si>
    <t>Penjualan Lokal</t>
  </si>
  <si>
    <t>Penjualan Ekspor + Lokal</t>
  </si>
  <si>
    <t>Status Cross Chek</t>
  </si>
  <si>
    <t>shet berwarna hijau untuk diisikan</t>
  </si>
  <si>
    <t>shet berwarna putih diprotek</t>
  </si>
  <si>
    <t>- Lainnya (Lump dan Brown Crepe (TBC dan TBC 3X)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</si>
</sst>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"/>
    <numFmt numFmtId="165" formatCode="_-* #,##0.00_-;\-* #,##0.00_-;_-* &quot;-&quot;_-;_-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Calibri"/>
    </font>
    <font>
      <b/>
      <sz val="14"/>
      <color rgb="FF000000"/>
      <name val="Calibri"/>
    </font>
    <font>
      <b/>
      <sz val="10"/>
      <color rgb="FF000000"/>
      <name val="Arial"/>
    </font>
    <font>
      <sz val="11"/>
      <name val="Calibri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rgb="FF000000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164" fontId="2" fillId="0" borderId="0" xfId="1" applyNumberFormat="1" applyFont="1"/>
    <xf numFmtId="0" fontId="1" fillId="0" borderId="0" xfId="1"/>
    <xf numFmtId="164" fontId="3" fillId="0" borderId="0" xfId="1" applyNumberFormat="1" applyFont="1" applyAlignment="1">
      <alignment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5" fillId="0" borderId="2" xfId="1" applyFont="1" applyBorder="1"/>
    <xf numFmtId="164" fontId="4" fillId="2" borderId="3" xfId="1" applyNumberFormat="1" applyFont="1" applyFill="1" applyBorder="1" applyAlignment="1">
      <alignment horizontal="center"/>
    </xf>
    <xf numFmtId="0" fontId="5" fillId="0" borderId="4" xfId="1" applyFont="1" applyBorder="1"/>
    <xf numFmtId="0" fontId="5" fillId="0" borderId="5" xfId="1" applyFont="1" applyBorder="1"/>
    <xf numFmtId="0" fontId="5" fillId="0" borderId="6" xfId="1" applyFont="1" applyBorder="1"/>
    <xf numFmtId="0" fontId="1" fillId="0" borderId="0" xfId="1"/>
    <xf numFmtId="0" fontId="5" fillId="0" borderId="7" xfId="1" applyFont="1" applyBorder="1"/>
    <xf numFmtId="0" fontId="5" fillId="0" borderId="8" xfId="1" applyFont="1" applyBorder="1"/>
    <xf numFmtId="164" fontId="4" fillId="2" borderId="9" xfId="1" applyNumberFormat="1" applyFont="1" applyFill="1" applyBorder="1" applyAlignment="1">
      <alignment horizontal="center"/>
    </xf>
    <xf numFmtId="164" fontId="4" fillId="2" borderId="6" xfId="1" applyNumberFormat="1" applyFont="1" applyFill="1" applyBorder="1"/>
    <xf numFmtId="164" fontId="6" fillId="2" borderId="0" xfId="1" applyNumberFormat="1" applyFont="1" applyFill="1"/>
    <xf numFmtId="164" fontId="6" fillId="2" borderId="10" xfId="1" applyNumberFormat="1" applyFont="1" applyFill="1" applyBorder="1"/>
    <xf numFmtId="164" fontId="6" fillId="2" borderId="6" xfId="1" applyNumberFormat="1" applyFont="1" applyFill="1" applyBorder="1"/>
    <xf numFmtId="165" fontId="6" fillId="2" borderId="10" xfId="1" applyNumberFormat="1" applyFont="1" applyFill="1" applyBorder="1"/>
    <xf numFmtId="164" fontId="6" fillId="3" borderId="0" xfId="1" applyNumberFormat="1" applyFont="1" applyFill="1"/>
    <xf numFmtId="164" fontId="6" fillId="2" borderId="10" xfId="1" applyNumberFormat="1" applyFont="1" applyFill="1" applyBorder="1" applyAlignment="1">
      <alignment horizontal="right"/>
    </xf>
    <xf numFmtId="0" fontId="6" fillId="2" borderId="0" xfId="1" quotePrefix="1" applyFont="1" applyFill="1"/>
    <xf numFmtId="164" fontId="4" fillId="2" borderId="6" xfId="1" applyNumberFormat="1" applyFont="1" applyFill="1" applyBorder="1" applyAlignment="1">
      <alignment horizontal="center"/>
    </xf>
    <xf numFmtId="0" fontId="5" fillId="0" borderId="0" xfId="1" applyFont="1"/>
    <xf numFmtId="164" fontId="4" fillId="2" borderId="9" xfId="1" applyNumberFormat="1" applyFont="1" applyFill="1" applyBorder="1"/>
    <xf numFmtId="164" fontId="6" fillId="2" borderId="6" xfId="1" applyNumberFormat="1" applyFont="1" applyFill="1" applyBorder="1" applyAlignment="1">
      <alignment horizontal="center"/>
    </xf>
    <xf numFmtId="164" fontId="6" fillId="2" borderId="0" xfId="1" applyNumberFormat="1" applyFont="1" applyFill="1" applyAlignment="1">
      <alignment horizontal="center"/>
    </xf>
    <xf numFmtId="164" fontId="4" fillId="2" borderId="10" xfId="1" applyNumberFormat="1" applyFont="1" applyFill="1" applyBorder="1"/>
    <xf numFmtId="164" fontId="4" fillId="2" borderId="0" xfId="1" applyNumberFormat="1" applyFont="1" applyFill="1" applyAlignment="1">
      <alignment horizontal="center"/>
    </xf>
    <xf numFmtId="164" fontId="6" fillId="2" borderId="11" xfId="1" applyNumberFormat="1" applyFont="1" applyFill="1" applyBorder="1"/>
    <xf numFmtId="3" fontId="6" fillId="2" borderId="10" xfId="1" applyNumberFormat="1" applyFont="1" applyFill="1" applyBorder="1" applyAlignment="1">
      <alignment horizontal="right"/>
    </xf>
    <xf numFmtId="3" fontId="6" fillId="2" borderId="10" xfId="1" applyNumberFormat="1" applyFont="1" applyFill="1" applyBorder="1"/>
    <xf numFmtId="164" fontId="7" fillId="2" borderId="11" xfId="1" applyNumberFormat="1" applyFont="1" applyFill="1" applyBorder="1" applyAlignment="1">
      <alignment horizontal="right"/>
    </xf>
    <xf numFmtId="164" fontId="8" fillId="2" borderId="10" xfId="1" applyNumberFormat="1" applyFont="1" applyFill="1" applyBorder="1"/>
    <xf numFmtId="164" fontId="7" fillId="2" borderId="10" xfId="1" applyNumberFormat="1" applyFont="1" applyFill="1" applyBorder="1" applyAlignment="1">
      <alignment horizontal="right"/>
    </xf>
    <xf numFmtId="164" fontId="7" fillId="2" borderId="11" xfId="1" applyNumberFormat="1" applyFont="1" applyFill="1" applyBorder="1"/>
    <xf numFmtId="164" fontId="7" fillId="2" borderId="10" xfId="1" applyNumberFormat="1" applyFont="1" applyFill="1" applyBorder="1"/>
    <xf numFmtId="164" fontId="9" fillId="2" borderId="11" xfId="1" applyNumberFormat="1" applyFont="1" applyFill="1" applyBorder="1" applyAlignment="1">
      <alignment horizontal="right"/>
    </xf>
    <xf numFmtId="164" fontId="10" fillId="2" borderId="10" xfId="1" applyNumberFormat="1" applyFont="1" applyFill="1" applyBorder="1"/>
    <xf numFmtId="164" fontId="9" fillId="2" borderId="10" xfId="1" applyNumberFormat="1" applyFont="1" applyFill="1" applyBorder="1" applyAlignment="1">
      <alignment horizontal="right"/>
    </xf>
    <xf numFmtId="164" fontId="10" fillId="0" borderId="0" xfId="1" applyNumberFormat="1" applyFont="1"/>
    <xf numFmtId="164" fontId="7" fillId="2" borderId="6" xfId="1" applyNumberFormat="1" applyFont="1" applyFill="1" applyBorder="1"/>
    <xf numFmtId="0" fontId="7" fillId="2" borderId="0" xfId="1" quotePrefix="1" applyFont="1" applyFill="1"/>
    <xf numFmtId="164" fontId="7" fillId="2" borderId="0" xfId="1" applyNumberFormat="1" applyFont="1" applyFill="1"/>
    <xf numFmtId="164" fontId="6" fillId="2" borderId="7" xfId="1" applyNumberFormat="1" applyFont="1" applyFill="1" applyBorder="1"/>
    <xf numFmtId="164" fontId="6" fillId="2" borderId="8" xfId="1" applyNumberFormat="1" applyFont="1" applyFill="1" applyBorder="1"/>
    <xf numFmtId="164" fontId="6" fillId="2" borderId="12" xfId="1" applyNumberFormat="1" applyFont="1" applyFill="1" applyBorder="1"/>
    <xf numFmtId="164" fontId="11" fillId="0" borderId="0" xfId="1" applyNumberFormat="1" applyFont="1"/>
    <xf numFmtId="164" fontId="11" fillId="0" borderId="0" xfId="1" quotePrefix="1" applyNumberFormat="1" applyFont="1"/>
    <xf numFmtId="164" fontId="11" fillId="4" borderId="4" xfId="1" applyNumberFormat="1" applyFont="1" applyFill="1" applyBorder="1"/>
    <xf numFmtId="164" fontId="11" fillId="0" borderId="0" xfId="1" applyNumberFormat="1" applyFont="1" applyAlignment="1">
      <alignment horizontal="left"/>
    </xf>
    <xf numFmtId="164" fontId="11" fillId="4" borderId="0" xfId="1" applyNumberFormat="1" applyFont="1" applyFill="1"/>
    <xf numFmtId="164" fontId="2" fillId="5" borderId="9" xfId="1" applyNumberFormat="1" applyFont="1" applyFill="1" applyBorder="1"/>
    <xf numFmtId="164" fontId="2" fillId="0" borderId="9" xfId="1" applyNumberFormat="1" applyFont="1" applyBorder="1"/>
  </cellXfs>
  <cellStyles count="2">
    <cellStyle name="Normal" xfId="0" builtinId="0"/>
    <cellStyle name="Normal 2" xfId="1" xr:uid="{450D9A0E-67C5-4C2A-9340-95D09E7846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E322-1642-4205-AFE8-82BE7FF44065}">
  <sheetPr>
    <tabColor rgb="FFF8696B"/>
  </sheetPr>
  <dimension ref="A1:T1051"/>
  <sheetViews>
    <sheetView tabSelected="1" workbookViewId="0">
      <pane ySplit="5" topLeftCell="A79" activePane="bottomLeft" state="frozen"/>
      <selection pane="bottomLeft" activeCell="D87" sqref="D87"/>
    </sheetView>
  </sheetViews>
  <sheetFormatPr defaultColWidth="14.44140625" defaultRowHeight="15" customHeight="1" x14ac:dyDescent="0.3"/>
  <cols>
    <col min="1" max="1" width="9.109375" style="2" customWidth="1"/>
    <col min="2" max="2" width="4.33203125" style="2" customWidth="1"/>
    <col min="3" max="3" width="59.44140625" style="2" customWidth="1"/>
    <col min="4" max="4" width="19.109375" style="2" customWidth="1"/>
    <col min="5" max="5" width="15" style="2" customWidth="1"/>
    <col min="6" max="6" width="20.109375" style="2" customWidth="1"/>
    <col min="7" max="7" width="19.6640625" style="2" customWidth="1"/>
    <col min="8" max="8" width="14" style="2" customWidth="1"/>
    <col min="9" max="9" width="21.33203125" style="2" customWidth="1"/>
    <col min="10" max="12" width="14.44140625" style="2"/>
    <col min="13" max="13" width="16" style="2" customWidth="1"/>
    <col min="14" max="16384" width="14.44140625" style="2"/>
  </cols>
  <sheetData>
    <row r="1" spans="1:20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4.75" customHeight="1" x14ac:dyDescent="0.3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25" customHeight="1" x14ac:dyDescent="0.3">
      <c r="A3" s="1"/>
      <c r="B3" s="4" t="s">
        <v>1</v>
      </c>
      <c r="C3" s="5"/>
      <c r="D3" s="6" t="s">
        <v>2</v>
      </c>
      <c r="E3" s="7"/>
      <c r="F3" s="8"/>
      <c r="G3" s="6" t="s">
        <v>3</v>
      </c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3.5" customHeight="1" x14ac:dyDescent="0.3">
      <c r="A4" s="1"/>
      <c r="B4" s="9"/>
      <c r="C4" s="10"/>
      <c r="D4" s="6" t="s">
        <v>4</v>
      </c>
      <c r="E4" s="7"/>
      <c r="F4" s="8"/>
      <c r="G4" s="6" t="s">
        <v>4</v>
      </c>
      <c r="H4" s="7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4.25" customHeight="1" x14ac:dyDescent="0.3">
      <c r="A5" s="1"/>
      <c r="B5" s="11"/>
      <c r="C5" s="12"/>
      <c r="D5" s="13" t="s">
        <v>5</v>
      </c>
      <c r="E5" s="13" t="s">
        <v>6</v>
      </c>
      <c r="F5" s="13" t="s">
        <v>7</v>
      </c>
      <c r="G5" s="13" t="s">
        <v>5</v>
      </c>
      <c r="H5" s="13" t="s">
        <v>6</v>
      </c>
      <c r="I5" s="13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4.25" customHeight="1" x14ac:dyDescent="0.3">
      <c r="A6" s="1"/>
      <c r="B6" s="14" t="s">
        <v>8</v>
      </c>
      <c r="C6" s="15"/>
      <c r="D6" s="16"/>
      <c r="E6" s="16"/>
      <c r="F6" s="16"/>
      <c r="G6" s="16"/>
      <c r="H6" s="16"/>
      <c r="I6" s="16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25" customHeight="1" x14ac:dyDescent="0.3">
      <c r="A7" s="1"/>
      <c r="B7" s="17"/>
      <c r="C7" s="15" t="s">
        <v>9</v>
      </c>
      <c r="D7" s="16"/>
      <c r="E7" s="16"/>
      <c r="F7" s="16"/>
      <c r="G7" s="16"/>
      <c r="H7" s="16"/>
      <c r="I7" s="16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4.25" customHeight="1" x14ac:dyDescent="0.3">
      <c r="A8" s="1"/>
      <c r="B8" s="17"/>
      <c r="C8" s="15" t="s">
        <v>10</v>
      </c>
      <c r="D8" s="16"/>
      <c r="E8" s="16"/>
      <c r="F8" s="16"/>
      <c r="G8" s="16"/>
      <c r="H8" s="16"/>
      <c r="I8" s="16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4.25" customHeight="1" x14ac:dyDescent="0.3">
      <c r="A9" s="1"/>
      <c r="B9" s="17"/>
      <c r="C9" s="15" t="s">
        <v>11</v>
      </c>
      <c r="D9" s="16"/>
      <c r="E9" s="16"/>
      <c r="F9" s="16"/>
      <c r="G9" s="16"/>
      <c r="H9" s="16"/>
      <c r="I9" s="16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4.25" customHeight="1" x14ac:dyDescent="0.3">
      <c r="A10" s="1"/>
      <c r="B10" s="17"/>
      <c r="C10" s="15" t="s">
        <v>12</v>
      </c>
      <c r="D10" s="16"/>
      <c r="E10" s="16"/>
      <c r="F10" s="16"/>
      <c r="G10" s="16"/>
      <c r="H10" s="16"/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4.25" customHeight="1" x14ac:dyDescent="0.3">
      <c r="A11" s="1"/>
      <c r="B11" s="17"/>
      <c r="C11" s="15" t="s">
        <v>13</v>
      </c>
      <c r="D11" s="16"/>
      <c r="E11" s="16"/>
      <c r="F11" s="16"/>
      <c r="G11" s="16"/>
      <c r="H11" s="18"/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4.25" customHeight="1" x14ac:dyDescent="0.3">
      <c r="A12" s="1"/>
      <c r="B12" s="17"/>
      <c r="C12" s="19" t="s">
        <v>14</v>
      </c>
      <c r="D12" s="16"/>
      <c r="E12" s="16"/>
      <c r="F12" s="20"/>
      <c r="G12" s="16"/>
      <c r="H12" s="18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4.25" customHeight="1" x14ac:dyDescent="0.3">
      <c r="A13" s="1"/>
      <c r="B13" s="17"/>
      <c r="C13" s="21" t="s">
        <v>15</v>
      </c>
      <c r="D13" s="16"/>
      <c r="E13" s="16"/>
      <c r="F13" s="16"/>
      <c r="G13" s="16"/>
      <c r="H13" s="18"/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4.25" customHeight="1" x14ac:dyDescent="0.3">
      <c r="A14" s="1"/>
      <c r="B14" s="17"/>
      <c r="C14" s="21" t="s">
        <v>16</v>
      </c>
      <c r="D14" s="16"/>
      <c r="E14" s="16"/>
      <c r="F14" s="16"/>
      <c r="G14" s="16"/>
      <c r="H14" s="18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4.25" customHeight="1" x14ac:dyDescent="0.3">
      <c r="A15" s="1"/>
      <c r="B15" s="17"/>
      <c r="C15" s="21" t="s">
        <v>17</v>
      </c>
      <c r="D15" s="16"/>
      <c r="E15" s="16"/>
      <c r="F15" s="16"/>
      <c r="G15" s="16"/>
      <c r="H15" s="18"/>
      <c r="I15" s="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4.25" customHeight="1" x14ac:dyDescent="0.3">
      <c r="A16" s="1"/>
      <c r="B16" s="17"/>
      <c r="C16" s="21" t="s">
        <v>18</v>
      </c>
      <c r="D16" s="16"/>
      <c r="E16" s="16"/>
      <c r="F16" s="16"/>
      <c r="G16" s="16"/>
      <c r="H16" s="18"/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4.25" customHeight="1" x14ac:dyDescent="0.3">
      <c r="A17" s="1"/>
      <c r="B17" s="17"/>
      <c r="C17" s="21" t="s">
        <v>54</v>
      </c>
      <c r="D17" s="16"/>
      <c r="E17" s="16"/>
      <c r="F17" s="20"/>
      <c r="G17" s="16"/>
      <c r="H17" s="18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4.25" customHeight="1" x14ac:dyDescent="0.3">
      <c r="A18" s="1"/>
      <c r="B18" s="17"/>
      <c r="C18" s="19" t="s">
        <v>19</v>
      </c>
      <c r="D18" s="16"/>
      <c r="E18" s="16"/>
      <c r="F18" s="16"/>
      <c r="G18" s="16"/>
      <c r="H18" s="18"/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4.25" customHeight="1" x14ac:dyDescent="0.3">
      <c r="A19" s="1"/>
      <c r="B19" s="17"/>
      <c r="C19" s="21" t="s">
        <v>20</v>
      </c>
      <c r="D19" s="16"/>
      <c r="E19" s="16"/>
      <c r="F19" s="16"/>
      <c r="G19" s="16"/>
      <c r="H19" s="18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4.25" customHeight="1" x14ac:dyDescent="0.3">
      <c r="A20" s="1"/>
      <c r="B20" s="17"/>
      <c r="C20" s="21" t="s">
        <v>21</v>
      </c>
      <c r="D20" s="16"/>
      <c r="E20" s="16"/>
      <c r="F20" s="16"/>
      <c r="G20" s="16"/>
      <c r="H20" s="18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4.25" customHeight="1" x14ac:dyDescent="0.3">
      <c r="A21" s="1"/>
      <c r="B21" s="17"/>
      <c r="C21" s="21" t="s">
        <v>22</v>
      </c>
      <c r="D21" s="16"/>
      <c r="E21" s="16"/>
      <c r="F21" s="16"/>
      <c r="G21" s="16"/>
      <c r="H21" s="18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4.25" customHeight="1" x14ac:dyDescent="0.3">
      <c r="A22" s="1"/>
      <c r="B22" s="17"/>
      <c r="C22" s="21" t="s">
        <v>23</v>
      </c>
      <c r="D22" s="16"/>
      <c r="E22" s="16"/>
      <c r="F22" s="16"/>
      <c r="G22" s="16"/>
      <c r="H22" s="18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4.25" customHeight="1" x14ac:dyDescent="0.3">
      <c r="A23" s="1"/>
      <c r="B23" s="17"/>
      <c r="C23" s="15" t="s">
        <v>24</v>
      </c>
      <c r="D23" s="16"/>
      <c r="E23" s="16"/>
      <c r="F23" s="16"/>
      <c r="G23" s="16"/>
      <c r="H23" s="18"/>
      <c r="I23" s="1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4.25" customHeight="1" x14ac:dyDescent="0.3">
      <c r="A24" s="1"/>
      <c r="B24" s="17"/>
      <c r="C24" s="15" t="s">
        <v>25</v>
      </c>
      <c r="D24" s="16"/>
      <c r="E24" s="16"/>
      <c r="F24" s="16"/>
      <c r="G24" s="16"/>
      <c r="H24" s="18"/>
      <c r="I24" s="1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4.25" customHeight="1" x14ac:dyDescent="0.3">
      <c r="A25" s="1"/>
      <c r="B25" s="17"/>
      <c r="C25" s="19" t="s">
        <v>26</v>
      </c>
      <c r="D25" s="16"/>
      <c r="E25" s="16"/>
      <c r="F25" s="16"/>
      <c r="G25" s="16"/>
      <c r="H25" s="18"/>
      <c r="I25" s="1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4.25" customHeight="1" x14ac:dyDescent="0.3">
      <c r="A26" s="1"/>
      <c r="B26" s="17"/>
      <c r="C26" s="21" t="s">
        <v>27</v>
      </c>
      <c r="D26" s="16"/>
      <c r="E26" s="16"/>
      <c r="F26" s="16"/>
      <c r="G26" s="16"/>
      <c r="H26" s="18"/>
      <c r="I26" s="1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4.25" customHeight="1" x14ac:dyDescent="0.3">
      <c r="A27" s="1"/>
      <c r="B27" s="17"/>
      <c r="C27" s="21" t="s">
        <v>28</v>
      </c>
      <c r="D27" s="16"/>
      <c r="E27" s="16"/>
      <c r="F27" s="16"/>
      <c r="G27" s="16"/>
      <c r="H27" s="18"/>
      <c r="I27" s="1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4.25" customHeight="1" x14ac:dyDescent="0.3">
      <c r="A28" s="1"/>
      <c r="B28" s="17"/>
      <c r="C28" s="19" t="s">
        <v>29</v>
      </c>
      <c r="D28" s="16"/>
      <c r="E28" s="16"/>
      <c r="F28" s="16"/>
      <c r="G28" s="16"/>
      <c r="H28" s="18"/>
      <c r="I28" s="1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4.25" customHeight="1" x14ac:dyDescent="0.3">
      <c r="A29" s="1"/>
      <c r="B29" s="17"/>
      <c r="C29" s="21" t="s">
        <v>30</v>
      </c>
      <c r="D29" s="16"/>
      <c r="E29" s="16"/>
      <c r="F29" s="16"/>
      <c r="G29" s="16"/>
      <c r="H29" s="18"/>
      <c r="I29" s="1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4.25" customHeight="1" x14ac:dyDescent="0.3">
      <c r="A30" s="1"/>
      <c r="B30" s="17"/>
      <c r="C30" s="21" t="s">
        <v>31</v>
      </c>
      <c r="D30" s="16"/>
      <c r="E30" s="16"/>
      <c r="F30" s="16"/>
      <c r="G30" s="16"/>
      <c r="H30" s="18"/>
      <c r="I30" s="1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4.25" customHeight="1" x14ac:dyDescent="0.3">
      <c r="A31" s="1"/>
      <c r="B31" s="17"/>
      <c r="C31" s="15" t="s">
        <v>32</v>
      </c>
      <c r="D31" s="16"/>
      <c r="E31" s="16"/>
      <c r="F31" s="16"/>
      <c r="G31" s="16"/>
      <c r="H31" s="18"/>
      <c r="I31" s="1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4.25" customHeight="1" x14ac:dyDescent="0.3">
      <c r="A32" s="1"/>
      <c r="B32" s="17"/>
      <c r="C32" s="15" t="s">
        <v>33</v>
      </c>
      <c r="D32" s="16"/>
      <c r="E32" s="16"/>
      <c r="F32" s="16"/>
      <c r="G32" s="16"/>
      <c r="H32" s="18"/>
      <c r="I32" s="1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4.25" customHeight="1" x14ac:dyDescent="0.3">
      <c r="A33" s="1"/>
      <c r="B33" s="17"/>
      <c r="C33" s="15" t="s">
        <v>34</v>
      </c>
      <c r="D33" s="16"/>
      <c r="E33" s="16"/>
      <c r="F33" s="20"/>
      <c r="G33" s="16"/>
      <c r="H33" s="16"/>
      <c r="I33" s="1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4.25" customHeight="1" x14ac:dyDescent="0.3">
      <c r="A34" s="1"/>
      <c r="B34" s="17"/>
      <c r="C34" s="15" t="s">
        <v>35</v>
      </c>
      <c r="D34" s="16"/>
      <c r="E34" s="16"/>
      <c r="F34" s="16"/>
      <c r="G34" s="16"/>
      <c r="H34" s="16"/>
      <c r="I34" s="1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3.5" customHeight="1" x14ac:dyDescent="0.3">
      <c r="A35" s="1"/>
      <c r="B35" s="17"/>
      <c r="C35" s="15"/>
      <c r="D35" s="16"/>
      <c r="E35" s="16"/>
      <c r="F35" s="16"/>
      <c r="G35" s="16"/>
      <c r="H35" s="16"/>
      <c r="I35" s="1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3.5" customHeight="1" x14ac:dyDescent="0.3">
      <c r="A36" s="1"/>
      <c r="B36" s="22" t="s">
        <v>36</v>
      </c>
      <c r="C36" s="23"/>
      <c r="D36" s="24">
        <f>SUM(D6:D33)</f>
        <v>0</v>
      </c>
      <c r="E36" s="24"/>
      <c r="F36" s="24">
        <f t="shared" ref="F36:G36" si="0">SUM(F6:F33)</f>
        <v>0</v>
      </c>
      <c r="G36" s="24">
        <f t="shared" si="0"/>
        <v>0</v>
      </c>
      <c r="H36" s="24"/>
      <c r="I36" s="24">
        <f>SUM(I6:I33)</f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3">
      <c r="A37" s="1"/>
      <c r="B37" s="25"/>
      <c r="C37" s="26"/>
      <c r="D37" s="27"/>
      <c r="E37" s="27"/>
      <c r="F37" s="27"/>
      <c r="G37" s="27"/>
      <c r="H37" s="27"/>
      <c r="I37" s="2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3">
      <c r="A38" s="1"/>
      <c r="B38" s="14" t="s">
        <v>37</v>
      </c>
      <c r="C38" s="15"/>
      <c r="D38" s="16"/>
      <c r="E38" s="16"/>
      <c r="F38" s="16"/>
      <c r="G38" s="16"/>
      <c r="H38" s="16"/>
      <c r="I38" s="1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3">
      <c r="A39" s="1"/>
      <c r="B39" s="17"/>
      <c r="C39" s="15" t="s">
        <v>9</v>
      </c>
      <c r="D39" s="16"/>
      <c r="E39" s="16"/>
      <c r="F39" s="16"/>
      <c r="G39" s="16"/>
      <c r="H39" s="16"/>
      <c r="I39" s="1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3">
      <c r="A40" s="1"/>
      <c r="B40" s="17"/>
      <c r="C40" s="15" t="s">
        <v>10</v>
      </c>
      <c r="D40" s="16"/>
      <c r="E40" s="16"/>
      <c r="F40" s="16"/>
      <c r="G40" s="16"/>
      <c r="H40" s="16"/>
      <c r="I40" s="1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3">
      <c r="A41" s="1"/>
      <c r="B41" s="17"/>
      <c r="C41" s="15" t="s">
        <v>11</v>
      </c>
      <c r="D41" s="16"/>
      <c r="E41" s="16"/>
      <c r="F41" s="16"/>
      <c r="G41" s="16"/>
      <c r="H41" s="16"/>
      <c r="I41" s="1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3">
      <c r="A42" s="1"/>
      <c r="B42" s="17"/>
      <c r="C42" s="15" t="s">
        <v>12</v>
      </c>
      <c r="D42" s="16"/>
      <c r="E42" s="16"/>
      <c r="F42" s="16"/>
      <c r="G42" s="16"/>
      <c r="H42" s="16"/>
      <c r="I42" s="1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3">
      <c r="A43" s="1"/>
      <c r="B43" s="17"/>
      <c r="C43" s="15" t="s">
        <v>13</v>
      </c>
      <c r="D43" s="16"/>
      <c r="E43" s="16"/>
      <c r="F43" s="16"/>
      <c r="G43" s="16"/>
      <c r="H43" s="16"/>
      <c r="I43" s="1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3">
      <c r="A44" s="1"/>
      <c r="B44" s="17"/>
      <c r="C44" s="19" t="s">
        <v>14</v>
      </c>
      <c r="D44" s="16"/>
      <c r="E44" s="16"/>
      <c r="F44" s="16"/>
      <c r="G44" s="16"/>
      <c r="H44" s="16"/>
      <c r="I44" s="1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3">
      <c r="A45" s="1"/>
      <c r="B45" s="17"/>
      <c r="C45" s="21" t="s">
        <v>15</v>
      </c>
      <c r="D45" s="16"/>
      <c r="E45" s="16"/>
      <c r="F45" s="16"/>
      <c r="G45" s="16"/>
      <c r="H45" s="16"/>
      <c r="I45" s="1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3">
      <c r="A46" s="1"/>
      <c r="B46" s="17"/>
      <c r="C46" s="21" t="s">
        <v>16</v>
      </c>
      <c r="D46" s="16"/>
      <c r="E46" s="16"/>
      <c r="F46" s="16"/>
      <c r="G46" s="16"/>
      <c r="H46" s="16"/>
      <c r="I46" s="1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3">
      <c r="A47" s="1"/>
      <c r="B47" s="17"/>
      <c r="C47" s="21" t="s">
        <v>17</v>
      </c>
      <c r="D47" s="16"/>
      <c r="E47" s="16"/>
      <c r="F47" s="16"/>
      <c r="G47" s="16"/>
      <c r="H47" s="16"/>
      <c r="I47" s="1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3">
      <c r="A48" s="1"/>
      <c r="B48" s="17"/>
      <c r="C48" s="21" t="s">
        <v>18</v>
      </c>
      <c r="D48" s="16"/>
      <c r="E48" s="16"/>
      <c r="F48" s="16"/>
      <c r="G48" s="16"/>
      <c r="H48" s="16"/>
      <c r="I48" s="1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3">
      <c r="A49" s="1"/>
      <c r="B49" s="17"/>
      <c r="C49" s="21" t="s">
        <v>23</v>
      </c>
      <c r="D49" s="16"/>
      <c r="E49" s="16"/>
      <c r="F49" s="16"/>
      <c r="G49" s="16"/>
      <c r="H49" s="16"/>
      <c r="I49" s="1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3">
      <c r="A50" s="1"/>
      <c r="B50" s="17"/>
      <c r="C50" s="19" t="s">
        <v>19</v>
      </c>
      <c r="D50" s="16"/>
      <c r="E50" s="16"/>
      <c r="F50" s="16"/>
      <c r="G50" s="16"/>
      <c r="H50" s="16"/>
      <c r="I50" s="1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3">
      <c r="A51" s="1"/>
      <c r="B51" s="17"/>
      <c r="C51" s="21" t="s">
        <v>20</v>
      </c>
      <c r="D51" s="16"/>
      <c r="E51" s="16"/>
      <c r="F51" s="16"/>
      <c r="G51" s="16"/>
      <c r="H51" s="16"/>
      <c r="I51" s="1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3">
      <c r="A52" s="1"/>
      <c r="B52" s="17"/>
      <c r="C52" s="21" t="s">
        <v>21</v>
      </c>
      <c r="D52" s="16"/>
      <c r="E52" s="16"/>
      <c r="F52" s="16"/>
      <c r="G52" s="16"/>
      <c r="H52" s="16"/>
      <c r="I52" s="1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3">
      <c r="A53" s="1"/>
      <c r="B53" s="17"/>
      <c r="C53" s="21" t="s">
        <v>22</v>
      </c>
      <c r="D53" s="16"/>
      <c r="E53" s="16"/>
      <c r="F53" s="16"/>
      <c r="G53" s="16"/>
      <c r="H53" s="16"/>
      <c r="I53" s="1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3">
      <c r="A54" s="1"/>
      <c r="B54" s="17"/>
      <c r="C54" s="21" t="s">
        <v>23</v>
      </c>
      <c r="D54" s="16"/>
      <c r="E54" s="16"/>
      <c r="F54" s="16"/>
      <c r="G54" s="16"/>
      <c r="H54" s="16"/>
      <c r="I54" s="1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3">
      <c r="A55" s="1"/>
      <c r="B55" s="17"/>
      <c r="C55" s="15" t="s">
        <v>24</v>
      </c>
      <c r="D55" s="16"/>
      <c r="E55" s="16"/>
      <c r="F55" s="16"/>
      <c r="G55" s="16"/>
      <c r="H55" s="16"/>
      <c r="I55" s="1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3">
      <c r="A56" s="1"/>
      <c r="B56" s="17"/>
      <c r="C56" s="15" t="s">
        <v>25</v>
      </c>
      <c r="D56" s="16"/>
      <c r="E56" s="16"/>
      <c r="F56" s="16"/>
      <c r="G56" s="16"/>
      <c r="H56" s="16"/>
      <c r="I56" s="1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3">
      <c r="A57" s="1"/>
      <c r="B57" s="17"/>
      <c r="C57" s="19" t="s">
        <v>26</v>
      </c>
      <c r="D57" s="16"/>
      <c r="E57" s="16"/>
      <c r="F57" s="16"/>
      <c r="G57" s="16"/>
      <c r="H57" s="16"/>
      <c r="I57" s="1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3">
      <c r="A58" s="1"/>
      <c r="B58" s="17"/>
      <c r="C58" s="21" t="s">
        <v>27</v>
      </c>
      <c r="D58" s="16"/>
      <c r="E58" s="16"/>
      <c r="F58" s="16"/>
      <c r="G58" s="16"/>
      <c r="H58" s="16"/>
      <c r="I58" s="1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3">
      <c r="A59" s="1"/>
      <c r="B59" s="17"/>
      <c r="C59" s="21" t="s">
        <v>28</v>
      </c>
      <c r="D59" s="16"/>
      <c r="E59" s="16"/>
      <c r="F59" s="16"/>
      <c r="G59" s="16"/>
      <c r="H59" s="16"/>
      <c r="I59" s="1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3">
      <c r="A60" s="1"/>
      <c r="B60" s="17"/>
      <c r="C60" s="19" t="s">
        <v>29</v>
      </c>
      <c r="D60" s="16"/>
      <c r="E60" s="16"/>
      <c r="F60" s="16"/>
      <c r="G60" s="16"/>
      <c r="H60" s="16"/>
      <c r="I60" s="1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3">
      <c r="A61" s="1"/>
      <c r="B61" s="17"/>
      <c r="C61" s="21" t="s">
        <v>30</v>
      </c>
      <c r="D61" s="16"/>
      <c r="E61" s="16"/>
      <c r="F61" s="16"/>
      <c r="G61" s="16"/>
      <c r="H61" s="16"/>
      <c r="I61" s="1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3">
      <c r="A62" s="1"/>
      <c r="B62" s="17"/>
      <c r="C62" s="21" t="s">
        <v>31</v>
      </c>
      <c r="D62" s="16"/>
      <c r="E62" s="16"/>
      <c r="F62" s="16"/>
      <c r="G62" s="16"/>
      <c r="H62" s="16"/>
      <c r="I62" s="1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3">
      <c r="A63" s="1"/>
      <c r="B63" s="17"/>
      <c r="C63" s="15" t="s">
        <v>32</v>
      </c>
      <c r="D63" s="16"/>
      <c r="E63" s="16"/>
      <c r="F63" s="16"/>
      <c r="G63" s="16"/>
      <c r="H63" s="16"/>
      <c r="I63" s="1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3">
      <c r="A64" s="1"/>
      <c r="B64" s="17"/>
      <c r="C64" s="15" t="s">
        <v>33</v>
      </c>
      <c r="D64" s="16"/>
      <c r="E64" s="16"/>
      <c r="F64" s="16"/>
      <c r="G64" s="16"/>
      <c r="H64" s="16"/>
      <c r="I64" s="1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4.25" customHeight="1" x14ac:dyDescent="0.3">
      <c r="A65" s="1"/>
      <c r="B65" s="17"/>
      <c r="C65" s="15" t="s">
        <v>34</v>
      </c>
      <c r="D65" s="16"/>
      <c r="E65" s="16"/>
      <c r="F65" s="16"/>
      <c r="G65" s="16"/>
      <c r="H65" s="16"/>
      <c r="I65" s="1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4.25" customHeight="1" x14ac:dyDescent="0.3">
      <c r="A66" s="1"/>
      <c r="B66" s="17"/>
      <c r="C66" s="15" t="s">
        <v>35</v>
      </c>
      <c r="D66" s="16"/>
      <c r="E66" s="16"/>
      <c r="F66" s="16"/>
      <c r="G66" s="16"/>
      <c r="H66" s="16"/>
      <c r="I66" s="1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3.5" customHeight="1" x14ac:dyDescent="0.3">
      <c r="A67" s="1"/>
      <c r="B67" s="17"/>
      <c r="C67" s="15"/>
      <c r="D67" s="16"/>
      <c r="E67" s="16"/>
      <c r="F67" s="16"/>
      <c r="G67" s="16"/>
      <c r="H67" s="16"/>
      <c r="I67" s="1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4.25" customHeight="1" x14ac:dyDescent="0.3">
      <c r="A68" s="1"/>
      <c r="B68" s="17"/>
      <c r="C68" s="28" t="s">
        <v>38</v>
      </c>
      <c r="D68" s="24">
        <f>SUM(D38:D65)</f>
        <v>0</v>
      </c>
      <c r="E68" s="24"/>
      <c r="F68" s="24">
        <f t="shared" ref="F68:G68" si="1">SUM(F38:F65)</f>
        <v>0</v>
      </c>
      <c r="G68" s="24">
        <f t="shared" si="1"/>
        <v>0</v>
      </c>
      <c r="H68" s="24"/>
      <c r="I68" s="24">
        <f>SUM(I38:I65)</f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4.25" customHeight="1" x14ac:dyDescent="0.3">
      <c r="A69" s="1"/>
      <c r="B69" s="17"/>
      <c r="C69" s="15"/>
      <c r="D69" s="16"/>
      <c r="E69" s="16"/>
      <c r="F69" s="16"/>
      <c r="G69" s="16"/>
      <c r="H69" s="16"/>
      <c r="I69" s="1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25" customHeight="1" x14ac:dyDescent="0.3">
      <c r="A70" s="1"/>
      <c r="B70" s="14" t="s">
        <v>39</v>
      </c>
      <c r="C70" s="15"/>
      <c r="D70" s="16"/>
      <c r="E70" s="16"/>
      <c r="F70" s="16"/>
      <c r="G70" s="16"/>
      <c r="H70" s="16"/>
      <c r="I70" s="1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25" customHeight="1" x14ac:dyDescent="0.3">
      <c r="A71" s="1"/>
      <c r="B71" s="17"/>
      <c r="C71" s="15" t="s">
        <v>9</v>
      </c>
      <c r="D71" s="16"/>
      <c r="E71" s="16"/>
      <c r="F71" s="16"/>
      <c r="G71" s="16"/>
      <c r="H71" s="16"/>
      <c r="I71" s="1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4.25" customHeight="1" x14ac:dyDescent="0.3">
      <c r="A72" s="1"/>
      <c r="B72" s="17"/>
      <c r="C72" s="15" t="s">
        <v>10</v>
      </c>
      <c r="D72" s="16"/>
      <c r="E72" s="16"/>
      <c r="F72" s="16"/>
      <c r="G72" s="16"/>
      <c r="H72" s="16"/>
      <c r="I72" s="1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4.25" customHeight="1" x14ac:dyDescent="0.3">
      <c r="A73" s="1"/>
      <c r="B73" s="17"/>
      <c r="C73" s="15" t="s">
        <v>11</v>
      </c>
      <c r="D73" s="16"/>
      <c r="E73" s="16"/>
      <c r="F73" s="16"/>
      <c r="G73" s="29"/>
      <c r="H73" s="16"/>
      <c r="I73" s="1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4.25" customHeight="1" x14ac:dyDescent="0.3">
      <c r="A74" s="1"/>
      <c r="B74" s="17"/>
      <c r="C74" s="15" t="s">
        <v>12</v>
      </c>
      <c r="D74" s="16"/>
      <c r="E74" s="16"/>
      <c r="F74" s="16"/>
      <c r="G74" s="29"/>
      <c r="H74" s="16"/>
      <c r="I74" s="1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4.25" customHeight="1" x14ac:dyDescent="0.3">
      <c r="A75" s="1"/>
      <c r="B75" s="17"/>
      <c r="C75" s="15" t="s">
        <v>13</v>
      </c>
      <c r="D75" s="16"/>
      <c r="E75" s="16"/>
      <c r="F75" s="20"/>
      <c r="G75" s="29"/>
      <c r="H75" s="16"/>
      <c r="I75" s="1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4.25" customHeight="1" x14ac:dyDescent="0.3">
      <c r="A76" s="1"/>
      <c r="B76" s="17"/>
      <c r="C76" s="19" t="s">
        <v>14</v>
      </c>
      <c r="D76" s="16"/>
      <c r="E76" s="16"/>
      <c r="F76" s="16"/>
      <c r="G76" s="29"/>
      <c r="H76" s="16"/>
      <c r="I76" s="1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4.25" customHeight="1" x14ac:dyDescent="0.3">
      <c r="A77" s="1"/>
      <c r="B77" s="17"/>
      <c r="C77" s="21" t="s">
        <v>15</v>
      </c>
      <c r="D77" s="16"/>
      <c r="E77" s="16"/>
      <c r="F77" s="16"/>
      <c r="G77" s="29"/>
      <c r="H77" s="16"/>
      <c r="I77" s="1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4.25" customHeight="1" x14ac:dyDescent="0.3">
      <c r="A78" s="1"/>
      <c r="B78" s="17"/>
      <c r="C78" s="21" t="s">
        <v>16</v>
      </c>
      <c r="D78" s="16"/>
      <c r="E78" s="16"/>
      <c r="F78" s="16"/>
      <c r="G78" s="29"/>
      <c r="H78" s="16"/>
      <c r="I78" s="1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4.25" customHeight="1" x14ac:dyDescent="0.3">
      <c r="A79" s="1"/>
      <c r="B79" s="17"/>
      <c r="C79" s="21" t="s">
        <v>17</v>
      </c>
      <c r="D79" s="16"/>
      <c r="E79" s="16"/>
      <c r="F79" s="30"/>
      <c r="G79" s="29"/>
      <c r="H79" s="16"/>
      <c r="I79" s="1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4.25" customHeight="1" x14ac:dyDescent="0.3">
      <c r="A80" s="1"/>
      <c r="B80" s="17"/>
      <c r="C80" s="21" t="s">
        <v>18</v>
      </c>
      <c r="D80" s="16"/>
      <c r="E80" s="16"/>
      <c r="F80" s="30"/>
      <c r="G80" s="29"/>
      <c r="H80" s="16"/>
      <c r="I80" s="1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4.25" customHeight="1" x14ac:dyDescent="0.3">
      <c r="A81" s="1"/>
      <c r="B81" s="17"/>
      <c r="C81" s="21" t="s">
        <v>40</v>
      </c>
      <c r="D81" s="16"/>
      <c r="E81" s="16"/>
      <c r="F81" s="31"/>
      <c r="G81" s="32"/>
      <c r="H81" s="33"/>
      <c r="I81" s="3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4.25" customHeight="1" x14ac:dyDescent="0.3">
      <c r="A82" s="1"/>
      <c r="B82" s="17"/>
      <c r="C82" s="19" t="s">
        <v>19</v>
      </c>
      <c r="D82" s="16"/>
      <c r="E82" s="16"/>
      <c r="F82" s="16"/>
      <c r="G82" s="35"/>
      <c r="H82" s="36"/>
      <c r="I82" s="3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4.25" customHeight="1" x14ac:dyDescent="0.3">
      <c r="A83" s="1"/>
      <c r="B83" s="17"/>
      <c r="C83" s="21" t="s">
        <v>20</v>
      </c>
      <c r="D83" s="16"/>
      <c r="E83" s="16"/>
      <c r="F83" s="16"/>
      <c r="G83" s="35"/>
      <c r="H83" s="36"/>
      <c r="I83" s="3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4.25" customHeight="1" x14ac:dyDescent="0.3">
      <c r="A84" s="1"/>
      <c r="B84" s="17"/>
      <c r="C84" s="21" t="s">
        <v>21</v>
      </c>
      <c r="D84" s="16"/>
      <c r="E84" s="16"/>
      <c r="F84" s="16"/>
      <c r="G84" s="35"/>
      <c r="H84" s="36"/>
      <c r="I84" s="3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4.25" customHeight="1" x14ac:dyDescent="0.3">
      <c r="A85" s="1"/>
      <c r="B85" s="17"/>
      <c r="C85" s="21" t="s">
        <v>22</v>
      </c>
      <c r="D85" s="16"/>
      <c r="E85" s="16"/>
      <c r="F85" s="16"/>
      <c r="G85" s="35"/>
      <c r="H85" s="36"/>
      <c r="I85" s="3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4.25" customHeight="1" x14ac:dyDescent="0.3">
      <c r="A86" s="1"/>
      <c r="B86" s="17"/>
      <c r="C86" s="21" t="s">
        <v>23</v>
      </c>
      <c r="D86" s="16"/>
      <c r="E86" s="16"/>
      <c r="F86" s="16"/>
      <c r="G86" s="35"/>
      <c r="H86" s="36"/>
      <c r="I86" s="3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4.25" customHeight="1" x14ac:dyDescent="0.3">
      <c r="A87" s="1"/>
      <c r="B87" s="17"/>
      <c r="C87" s="15" t="s">
        <v>24</v>
      </c>
      <c r="D87" s="16"/>
      <c r="E87" s="16"/>
      <c r="F87" s="16"/>
      <c r="G87" s="29"/>
      <c r="H87" s="16"/>
      <c r="I87" s="1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4.25" customHeight="1" x14ac:dyDescent="0.3">
      <c r="A88" s="1"/>
      <c r="B88" s="17"/>
      <c r="C88" s="15" t="s">
        <v>25</v>
      </c>
      <c r="D88" s="16"/>
      <c r="E88" s="16"/>
      <c r="F88" s="16"/>
      <c r="G88" s="37"/>
      <c r="H88" s="38"/>
      <c r="I88" s="3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4.25" customHeight="1" x14ac:dyDescent="0.3">
      <c r="A89" s="1"/>
      <c r="B89" s="17"/>
      <c r="C89" s="19" t="s">
        <v>26</v>
      </c>
      <c r="D89" s="16"/>
      <c r="E89" s="16"/>
      <c r="F89" s="16"/>
      <c r="G89" s="38"/>
      <c r="H89" s="38"/>
      <c r="I89" s="3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4.25" customHeight="1" x14ac:dyDescent="0.3">
      <c r="A90" s="1"/>
      <c r="B90" s="17"/>
      <c r="C90" s="21" t="s">
        <v>27</v>
      </c>
      <c r="D90" s="16"/>
      <c r="E90" s="16"/>
      <c r="F90" s="16"/>
      <c r="G90" s="38"/>
      <c r="H90" s="38"/>
      <c r="I90" s="3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4.25" customHeight="1" x14ac:dyDescent="0.3">
      <c r="A91" s="1"/>
      <c r="B91" s="17"/>
      <c r="C91" s="21" t="s">
        <v>28</v>
      </c>
      <c r="D91" s="16"/>
      <c r="E91" s="16"/>
      <c r="F91" s="16"/>
      <c r="G91" s="38"/>
      <c r="H91" s="38"/>
      <c r="I91" s="3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4.25" customHeight="1" x14ac:dyDescent="0.3">
      <c r="A92" s="1"/>
      <c r="B92" s="17"/>
      <c r="C92" s="19" t="s">
        <v>29</v>
      </c>
      <c r="D92" s="16"/>
      <c r="E92" s="16"/>
      <c r="F92" s="16"/>
      <c r="G92" s="38"/>
      <c r="H92" s="38"/>
      <c r="I92" s="3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4.25" customHeight="1" x14ac:dyDescent="0.3">
      <c r="A93" s="1"/>
      <c r="B93" s="17"/>
      <c r="C93" s="21" t="s">
        <v>30</v>
      </c>
      <c r="D93" s="16"/>
      <c r="E93" s="16"/>
      <c r="F93" s="16"/>
      <c r="G93" s="38"/>
      <c r="H93" s="38"/>
      <c r="I93" s="3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4.25" customHeight="1" x14ac:dyDescent="0.3">
      <c r="A94" s="1"/>
      <c r="B94" s="17"/>
      <c r="C94" s="21" t="s">
        <v>31</v>
      </c>
      <c r="D94" s="16"/>
      <c r="E94" s="16"/>
      <c r="F94" s="16"/>
      <c r="G94" s="38"/>
      <c r="H94" s="38"/>
      <c r="I94" s="3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4.25" customHeight="1" x14ac:dyDescent="0.3">
      <c r="A95" s="1"/>
      <c r="B95" s="17"/>
      <c r="C95" s="15" t="s">
        <v>32</v>
      </c>
      <c r="D95" s="16"/>
      <c r="E95" s="16"/>
      <c r="F95" s="16"/>
      <c r="G95" s="38"/>
      <c r="H95" s="38"/>
      <c r="I95" s="3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4.25" customHeight="1" x14ac:dyDescent="0.3">
      <c r="A96" s="1"/>
      <c r="B96" s="17"/>
      <c r="C96" s="15" t="s">
        <v>33</v>
      </c>
      <c r="D96" s="16"/>
      <c r="E96" s="16"/>
      <c r="F96" s="16"/>
      <c r="G96" s="39"/>
      <c r="H96" s="38"/>
      <c r="I96" s="3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4.25" customHeight="1" x14ac:dyDescent="0.3">
      <c r="A97" s="1"/>
      <c r="B97" s="17"/>
      <c r="C97" s="15" t="s">
        <v>34</v>
      </c>
      <c r="D97" s="16"/>
      <c r="E97" s="16"/>
      <c r="F97" s="20"/>
      <c r="G97" s="39"/>
      <c r="H97" s="38"/>
      <c r="I97" s="3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4.25" customHeight="1" x14ac:dyDescent="0.3">
      <c r="A98" s="1"/>
      <c r="B98" s="17"/>
      <c r="C98" s="15" t="s">
        <v>35</v>
      </c>
      <c r="D98" s="16"/>
      <c r="E98" s="16"/>
      <c r="F98" s="16"/>
      <c r="G98" s="36"/>
      <c r="H98" s="36"/>
      <c r="I98" s="3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4.25" customHeight="1" x14ac:dyDescent="0.3">
      <c r="A99" s="1"/>
      <c r="B99" s="17"/>
      <c r="C99" s="15" t="s">
        <v>41</v>
      </c>
      <c r="D99" s="39"/>
      <c r="E99" s="39"/>
      <c r="F99" s="20"/>
      <c r="G99" s="34"/>
      <c r="H99" s="34"/>
      <c r="I99" s="3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4.25" customHeight="1" x14ac:dyDescent="0.3">
      <c r="A100" s="1"/>
      <c r="B100" s="17"/>
      <c r="C100" s="15"/>
      <c r="D100" s="16"/>
      <c r="E100" s="16"/>
      <c r="F100" s="16"/>
      <c r="G100" s="16"/>
      <c r="H100" s="16"/>
      <c r="I100" s="1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4.25" customHeight="1" x14ac:dyDescent="0.3">
      <c r="A101" s="1"/>
      <c r="B101" s="17"/>
      <c r="C101" s="28" t="s">
        <v>42</v>
      </c>
      <c r="D101" s="24">
        <f>SUM(D71:D99)</f>
        <v>0</v>
      </c>
      <c r="E101" s="24"/>
      <c r="F101" s="24">
        <f t="shared" ref="F101:G101" si="2">SUM(F71:F99)</f>
        <v>0</v>
      </c>
      <c r="G101" s="24">
        <f t="shared" si="2"/>
        <v>0</v>
      </c>
      <c r="H101" s="24"/>
      <c r="I101" s="24">
        <f>SUM(I71:I99)</f>
        <v>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4.25" customHeight="1" x14ac:dyDescent="0.3">
      <c r="A102" s="1"/>
      <c r="B102" s="17"/>
      <c r="C102" s="15"/>
      <c r="D102" s="16"/>
      <c r="E102" s="16"/>
      <c r="F102" s="16"/>
      <c r="G102" s="16"/>
      <c r="H102" s="16"/>
      <c r="I102" s="1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3.5" customHeight="1" x14ac:dyDescent="0.3">
      <c r="A103" s="1"/>
      <c r="B103" s="17"/>
      <c r="C103" s="15"/>
      <c r="D103" s="16"/>
      <c r="E103" s="16"/>
      <c r="F103" s="16"/>
      <c r="G103" s="16"/>
      <c r="H103" s="16"/>
      <c r="I103" s="1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4.25" customHeight="1" x14ac:dyDescent="0.3">
      <c r="A104" s="1"/>
      <c r="B104" s="14" t="s">
        <v>43</v>
      </c>
      <c r="C104" s="15"/>
      <c r="D104" s="16"/>
      <c r="E104" s="16"/>
      <c r="F104" s="16"/>
      <c r="G104" s="16"/>
      <c r="H104" s="16"/>
      <c r="I104" s="1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4.25" customHeight="1" x14ac:dyDescent="0.3">
      <c r="A105" s="1"/>
      <c r="B105" s="17"/>
      <c r="C105" s="15" t="s">
        <v>9</v>
      </c>
      <c r="D105" s="16">
        <f t="shared" ref="D105:D109" si="3">D39+D71</f>
        <v>0</v>
      </c>
      <c r="E105" s="16"/>
      <c r="F105" s="16">
        <f t="shared" ref="F105:G109" si="4">F39+F71</f>
        <v>0</v>
      </c>
      <c r="G105" s="16">
        <f t="shared" si="4"/>
        <v>0</v>
      </c>
      <c r="H105" s="16"/>
      <c r="I105" s="16">
        <f t="shared" ref="I105:I109" si="5">I39+I71</f>
        <v>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4.25" customHeight="1" x14ac:dyDescent="0.3">
      <c r="A106" s="1"/>
      <c r="B106" s="17"/>
      <c r="C106" s="15" t="s">
        <v>10</v>
      </c>
      <c r="D106" s="16">
        <f t="shared" si="3"/>
        <v>0</v>
      </c>
      <c r="E106" s="16"/>
      <c r="F106" s="16">
        <f t="shared" si="4"/>
        <v>0</v>
      </c>
      <c r="G106" s="16">
        <f t="shared" si="4"/>
        <v>0</v>
      </c>
      <c r="H106" s="16"/>
      <c r="I106" s="16">
        <f t="shared" si="5"/>
        <v>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4.25" customHeight="1" x14ac:dyDescent="0.3">
      <c r="A107" s="1"/>
      <c r="B107" s="17"/>
      <c r="C107" s="15" t="s">
        <v>11</v>
      </c>
      <c r="D107" s="16">
        <f t="shared" si="3"/>
        <v>0</v>
      </c>
      <c r="E107" s="16"/>
      <c r="F107" s="16">
        <f t="shared" si="4"/>
        <v>0</v>
      </c>
      <c r="G107" s="16">
        <f t="shared" si="4"/>
        <v>0</v>
      </c>
      <c r="H107" s="16"/>
      <c r="I107" s="16">
        <f t="shared" si="5"/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4.25" customHeight="1" x14ac:dyDescent="0.3">
      <c r="A108" s="1"/>
      <c r="B108" s="17"/>
      <c r="C108" s="15" t="s">
        <v>12</v>
      </c>
      <c r="D108" s="16">
        <f t="shared" si="3"/>
        <v>0</v>
      </c>
      <c r="E108" s="16"/>
      <c r="F108" s="16">
        <f t="shared" si="4"/>
        <v>0</v>
      </c>
      <c r="G108" s="16">
        <f t="shared" si="4"/>
        <v>0</v>
      </c>
      <c r="H108" s="16"/>
      <c r="I108" s="16">
        <f t="shared" si="5"/>
        <v>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4.25" customHeight="1" x14ac:dyDescent="0.3">
      <c r="A109" s="1"/>
      <c r="B109" s="17"/>
      <c r="C109" s="15" t="s">
        <v>13</v>
      </c>
      <c r="D109" s="16">
        <f t="shared" si="3"/>
        <v>0</v>
      </c>
      <c r="E109" s="16"/>
      <c r="F109" s="16">
        <f t="shared" si="4"/>
        <v>0</v>
      </c>
      <c r="G109" s="16">
        <f t="shared" si="4"/>
        <v>0</v>
      </c>
      <c r="H109" s="16"/>
      <c r="I109" s="16">
        <f t="shared" si="5"/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4.25" customHeight="1" x14ac:dyDescent="0.3">
      <c r="A110" s="1"/>
      <c r="B110" s="17"/>
      <c r="C110" s="19" t="s">
        <v>14</v>
      </c>
      <c r="D110" s="16"/>
      <c r="E110" s="16"/>
      <c r="F110" s="16"/>
      <c r="G110" s="16"/>
      <c r="H110" s="16"/>
      <c r="I110" s="1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4.25" customHeight="1" x14ac:dyDescent="0.3">
      <c r="A111" s="1"/>
      <c r="B111" s="17"/>
      <c r="C111" s="21" t="s">
        <v>15</v>
      </c>
      <c r="D111" s="16">
        <f t="shared" ref="D111:D115" si="6">D45+D77</f>
        <v>0</v>
      </c>
      <c r="E111" s="16"/>
      <c r="F111" s="16">
        <f t="shared" ref="F111:G115" si="7">F45+F77</f>
        <v>0</v>
      </c>
      <c r="G111" s="16">
        <f t="shared" si="7"/>
        <v>0</v>
      </c>
      <c r="H111" s="16"/>
      <c r="I111" s="16">
        <f t="shared" ref="I111:I125" si="8">I45+I77</f>
        <v>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4.25" customHeight="1" x14ac:dyDescent="0.3">
      <c r="A112" s="1"/>
      <c r="B112" s="17"/>
      <c r="C112" s="21" t="s">
        <v>16</v>
      </c>
      <c r="D112" s="16">
        <f t="shared" si="6"/>
        <v>0</v>
      </c>
      <c r="E112" s="16"/>
      <c r="F112" s="16">
        <f t="shared" si="7"/>
        <v>0</v>
      </c>
      <c r="G112" s="16">
        <f t="shared" si="7"/>
        <v>0</v>
      </c>
      <c r="H112" s="16"/>
      <c r="I112" s="16">
        <f t="shared" si="8"/>
        <v>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4.25" customHeight="1" x14ac:dyDescent="0.3">
      <c r="A113" s="1"/>
      <c r="B113" s="17"/>
      <c r="C113" s="21" t="s">
        <v>17</v>
      </c>
      <c r="D113" s="16">
        <f t="shared" si="6"/>
        <v>0</v>
      </c>
      <c r="E113" s="16"/>
      <c r="F113" s="16">
        <f t="shared" si="7"/>
        <v>0</v>
      </c>
      <c r="G113" s="16">
        <f t="shared" si="7"/>
        <v>0</v>
      </c>
      <c r="H113" s="16"/>
      <c r="I113" s="16">
        <f t="shared" si="8"/>
        <v>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4.25" customHeight="1" x14ac:dyDescent="0.3">
      <c r="A114" s="1"/>
      <c r="B114" s="17"/>
      <c r="C114" s="21" t="s">
        <v>18</v>
      </c>
      <c r="D114" s="16">
        <f t="shared" si="6"/>
        <v>0</v>
      </c>
      <c r="E114" s="16"/>
      <c r="F114" s="16">
        <f t="shared" si="7"/>
        <v>0</v>
      </c>
      <c r="G114" s="16">
        <f t="shared" si="7"/>
        <v>0</v>
      </c>
      <c r="H114" s="16"/>
      <c r="I114" s="16">
        <f t="shared" si="8"/>
        <v>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4.25" customHeight="1" x14ac:dyDescent="0.3">
      <c r="A115" s="1"/>
      <c r="B115" s="17"/>
      <c r="C115" s="21" t="s">
        <v>23</v>
      </c>
      <c r="D115" s="16">
        <f t="shared" si="6"/>
        <v>0</v>
      </c>
      <c r="E115" s="16"/>
      <c r="F115" s="16">
        <f t="shared" si="7"/>
        <v>0</v>
      </c>
      <c r="G115" s="16">
        <f t="shared" si="7"/>
        <v>0</v>
      </c>
      <c r="H115" s="16"/>
      <c r="I115" s="16">
        <f t="shared" si="8"/>
        <v>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4.25" customHeight="1" x14ac:dyDescent="0.3">
      <c r="A116" s="1"/>
      <c r="B116" s="17"/>
      <c r="C116" s="19" t="s">
        <v>19</v>
      </c>
      <c r="D116" s="16"/>
      <c r="E116" s="16"/>
      <c r="F116" s="16"/>
      <c r="G116" s="16"/>
      <c r="H116" s="16"/>
      <c r="I116" s="16">
        <f t="shared" si="8"/>
        <v>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4.25" customHeight="1" x14ac:dyDescent="0.3">
      <c r="A117" s="40"/>
      <c r="B117" s="41"/>
      <c r="C117" s="21" t="s">
        <v>20</v>
      </c>
      <c r="D117" s="36">
        <f t="shared" ref="D117:D122" si="9">D51+D83</f>
        <v>0</v>
      </c>
      <c r="E117" s="36"/>
      <c r="F117" s="16">
        <f t="shared" ref="F117:G122" si="10">F51+F83</f>
        <v>0</v>
      </c>
      <c r="G117" s="36">
        <f t="shared" si="10"/>
        <v>0</v>
      </c>
      <c r="H117" s="36"/>
      <c r="I117" s="16">
        <f t="shared" si="8"/>
        <v>0</v>
      </c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</row>
    <row r="118" spans="1:20" ht="14.25" customHeight="1" x14ac:dyDescent="0.3">
      <c r="A118" s="40"/>
      <c r="B118" s="41"/>
      <c r="C118" s="21" t="s">
        <v>21</v>
      </c>
      <c r="D118" s="36">
        <f t="shared" si="9"/>
        <v>0</v>
      </c>
      <c r="E118" s="36"/>
      <c r="F118" s="16">
        <f t="shared" si="10"/>
        <v>0</v>
      </c>
      <c r="G118" s="36">
        <f t="shared" si="10"/>
        <v>0</v>
      </c>
      <c r="H118" s="36"/>
      <c r="I118" s="16">
        <f t="shared" si="8"/>
        <v>0</v>
      </c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</row>
    <row r="119" spans="1:20" ht="14.25" customHeight="1" x14ac:dyDescent="0.3">
      <c r="A119" s="40"/>
      <c r="B119" s="41"/>
      <c r="C119" s="42" t="s">
        <v>22</v>
      </c>
      <c r="D119" s="36">
        <f t="shared" si="9"/>
        <v>0</v>
      </c>
      <c r="E119" s="36"/>
      <c r="F119" s="16">
        <f t="shared" si="10"/>
        <v>0</v>
      </c>
      <c r="G119" s="36">
        <f t="shared" si="10"/>
        <v>0</v>
      </c>
      <c r="H119" s="36"/>
      <c r="I119" s="16">
        <f t="shared" si="8"/>
        <v>0</v>
      </c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</row>
    <row r="120" spans="1:20" ht="14.25" customHeight="1" x14ac:dyDescent="0.3">
      <c r="A120" s="40"/>
      <c r="B120" s="41"/>
      <c r="C120" s="42" t="s">
        <v>23</v>
      </c>
      <c r="D120" s="36">
        <f t="shared" si="9"/>
        <v>0</v>
      </c>
      <c r="E120" s="36"/>
      <c r="F120" s="16">
        <f t="shared" si="10"/>
        <v>0</v>
      </c>
      <c r="G120" s="36">
        <f t="shared" si="10"/>
        <v>0</v>
      </c>
      <c r="H120" s="36"/>
      <c r="I120" s="16">
        <f t="shared" si="8"/>
        <v>0</v>
      </c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</row>
    <row r="121" spans="1:20" ht="14.25" customHeight="1" x14ac:dyDescent="0.3">
      <c r="A121" s="40"/>
      <c r="B121" s="41"/>
      <c r="C121" s="43" t="s">
        <v>24</v>
      </c>
      <c r="D121" s="36">
        <f t="shared" si="9"/>
        <v>0</v>
      </c>
      <c r="E121" s="36"/>
      <c r="F121" s="16">
        <f t="shared" si="10"/>
        <v>0</v>
      </c>
      <c r="G121" s="36">
        <f t="shared" si="10"/>
        <v>0</v>
      </c>
      <c r="H121" s="36" t="e">
        <f>I121/G121</f>
        <v>#DIV/0!</v>
      </c>
      <c r="I121" s="16">
        <f t="shared" si="8"/>
        <v>0</v>
      </c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</row>
    <row r="122" spans="1:20" ht="14.25" customHeight="1" x14ac:dyDescent="0.3">
      <c r="A122" s="1"/>
      <c r="B122" s="17"/>
      <c r="C122" s="15" t="s">
        <v>25</v>
      </c>
      <c r="D122" s="36">
        <f t="shared" si="9"/>
        <v>0</v>
      </c>
      <c r="E122" s="16"/>
      <c r="F122" s="16">
        <f t="shared" si="10"/>
        <v>0</v>
      </c>
      <c r="G122" s="36">
        <f t="shared" si="10"/>
        <v>0</v>
      </c>
      <c r="H122" s="36"/>
      <c r="I122" s="16">
        <f t="shared" si="8"/>
        <v>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4.25" customHeight="1" x14ac:dyDescent="0.3">
      <c r="A123" s="1"/>
      <c r="B123" s="17"/>
      <c r="C123" s="19" t="s">
        <v>26</v>
      </c>
      <c r="D123" s="16"/>
      <c r="E123" s="16"/>
      <c r="F123" s="16"/>
      <c r="G123" s="16"/>
      <c r="H123" s="16"/>
      <c r="I123" s="16">
        <f t="shared" si="8"/>
        <v>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4.25" customHeight="1" x14ac:dyDescent="0.3">
      <c r="A124" s="1"/>
      <c r="B124" s="17"/>
      <c r="C124" s="21" t="s">
        <v>27</v>
      </c>
      <c r="D124" s="16">
        <f t="shared" ref="D124:D125" si="11">D58+D90</f>
        <v>0</v>
      </c>
      <c r="E124" s="16"/>
      <c r="F124" s="16">
        <f t="shared" ref="F124:F125" si="12">F58+F90</f>
        <v>0</v>
      </c>
      <c r="G124" s="16"/>
      <c r="H124" s="16"/>
      <c r="I124" s="16">
        <f t="shared" si="8"/>
        <v>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4.25" customHeight="1" x14ac:dyDescent="0.3">
      <c r="A125" s="1"/>
      <c r="B125" s="17"/>
      <c r="C125" s="21" t="s">
        <v>28</v>
      </c>
      <c r="D125" s="16">
        <f t="shared" si="11"/>
        <v>0</v>
      </c>
      <c r="E125" s="16"/>
      <c r="F125" s="16">
        <f t="shared" si="12"/>
        <v>0</v>
      </c>
      <c r="G125" s="16"/>
      <c r="H125" s="16"/>
      <c r="I125" s="16">
        <f t="shared" si="8"/>
        <v>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4.25" customHeight="1" x14ac:dyDescent="0.3">
      <c r="A126" s="1"/>
      <c r="B126" s="17"/>
      <c r="C126" s="19" t="s">
        <v>29</v>
      </c>
      <c r="D126" s="16"/>
      <c r="E126" s="16"/>
      <c r="F126" s="16"/>
      <c r="G126" s="16"/>
      <c r="H126" s="16"/>
      <c r="I126" s="1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4.25" customHeight="1" x14ac:dyDescent="0.3">
      <c r="A127" s="1"/>
      <c r="B127" s="17"/>
      <c r="C127" s="21" t="s">
        <v>30</v>
      </c>
      <c r="D127" s="16">
        <f t="shared" ref="D127:D133" si="13">D61+D93</f>
        <v>0</v>
      </c>
      <c r="E127" s="16"/>
      <c r="F127" s="16">
        <f t="shared" ref="F127:G133" si="14">F61+F93</f>
        <v>0</v>
      </c>
      <c r="G127" s="16">
        <f t="shared" si="14"/>
        <v>0</v>
      </c>
      <c r="H127" s="16"/>
      <c r="I127" s="16">
        <f t="shared" ref="I127:I133" si="15">I61+I93</f>
        <v>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4.25" customHeight="1" x14ac:dyDescent="0.3">
      <c r="A128" s="1"/>
      <c r="B128" s="17"/>
      <c r="C128" s="21" t="s">
        <v>31</v>
      </c>
      <c r="D128" s="16">
        <f t="shared" si="13"/>
        <v>0</v>
      </c>
      <c r="E128" s="16"/>
      <c r="F128" s="16">
        <f t="shared" si="14"/>
        <v>0</v>
      </c>
      <c r="G128" s="16">
        <f t="shared" si="14"/>
        <v>0</v>
      </c>
      <c r="H128" s="16"/>
      <c r="I128" s="16">
        <f t="shared" si="15"/>
        <v>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4.25" customHeight="1" x14ac:dyDescent="0.3">
      <c r="A129" s="1"/>
      <c r="B129" s="17"/>
      <c r="C129" s="15" t="s">
        <v>32</v>
      </c>
      <c r="D129" s="16">
        <f t="shared" si="13"/>
        <v>0</v>
      </c>
      <c r="E129" s="16"/>
      <c r="F129" s="16">
        <f t="shared" si="14"/>
        <v>0</v>
      </c>
      <c r="G129" s="16">
        <f t="shared" si="14"/>
        <v>0</v>
      </c>
      <c r="H129" s="16"/>
      <c r="I129" s="16">
        <f t="shared" si="15"/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4.25" customHeight="1" x14ac:dyDescent="0.3">
      <c r="A130" s="1"/>
      <c r="B130" s="17"/>
      <c r="C130" s="15" t="s">
        <v>33</v>
      </c>
      <c r="D130" s="16">
        <f t="shared" si="13"/>
        <v>0</v>
      </c>
      <c r="E130" s="16"/>
      <c r="F130" s="16">
        <f t="shared" si="14"/>
        <v>0</v>
      </c>
      <c r="G130" s="16">
        <f t="shared" si="14"/>
        <v>0</v>
      </c>
      <c r="H130" s="16"/>
      <c r="I130" s="16">
        <f t="shared" si="15"/>
        <v>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3.5" customHeight="1" x14ac:dyDescent="0.3">
      <c r="A131" s="1"/>
      <c r="B131" s="17"/>
      <c r="C131" s="15" t="s">
        <v>34</v>
      </c>
      <c r="D131" s="16">
        <f t="shared" si="13"/>
        <v>0</v>
      </c>
      <c r="E131" s="16"/>
      <c r="F131" s="16">
        <f t="shared" si="14"/>
        <v>0</v>
      </c>
      <c r="G131" s="16">
        <f t="shared" si="14"/>
        <v>0</v>
      </c>
      <c r="H131" s="16"/>
      <c r="I131" s="16">
        <f t="shared" si="15"/>
        <v>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4.25" customHeight="1" x14ac:dyDescent="0.3">
      <c r="A132" s="1"/>
      <c r="B132" s="17"/>
      <c r="C132" s="15" t="s">
        <v>35</v>
      </c>
      <c r="D132" s="16">
        <f t="shared" si="13"/>
        <v>0</v>
      </c>
      <c r="E132" s="16"/>
      <c r="F132" s="16">
        <f t="shared" si="14"/>
        <v>0</v>
      </c>
      <c r="G132" s="16">
        <f t="shared" si="14"/>
        <v>0</v>
      </c>
      <c r="H132" s="16"/>
      <c r="I132" s="16">
        <f t="shared" si="15"/>
        <v>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4.25" customHeight="1" x14ac:dyDescent="0.3">
      <c r="A133" s="1"/>
      <c r="B133" s="17"/>
      <c r="C133" s="15" t="s">
        <v>41</v>
      </c>
      <c r="D133" s="16">
        <f t="shared" si="13"/>
        <v>0</v>
      </c>
      <c r="E133" s="16"/>
      <c r="F133" s="16">
        <f t="shared" si="14"/>
        <v>0</v>
      </c>
      <c r="G133" s="16">
        <f t="shared" si="14"/>
        <v>0</v>
      </c>
      <c r="H133" s="16"/>
      <c r="I133" s="16">
        <f t="shared" si="15"/>
        <v>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4.25" customHeight="1" x14ac:dyDescent="0.3">
      <c r="A134" s="1"/>
      <c r="B134" s="17"/>
      <c r="C134" s="15"/>
      <c r="D134" s="16"/>
      <c r="E134" s="16"/>
      <c r="F134" s="16"/>
      <c r="G134" s="16"/>
      <c r="H134" s="16"/>
      <c r="I134" s="1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4.25" customHeight="1" x14ac:dyDescent="0.3">
      <c r="A135" s="1"/>
      <c r="B135" s="17"/>
      <c r="C135" s="28" t="s">
        <v>44</v>
      </c>
      <c r="D135" s="24">
        <f>SUM(D105:D133)</f>
        <v>0</v>
      </c>
      <c r="E135" s="24" t="e">
        <f>F135/D135</f>
        <v>#DIV/0!</v>
      </c>
      <c r="F135" s="24">
        <f t="shared" ref="F135:G135" si="16">SUM(F105:F133)</f>
        <v>0</v>
      </c>
      <c r="G135" s="24">
        <f t="shared" si="16"/>
        <v>0</v>
      </c>
      <c r="H135" s="24" t="e">
        <f>I135/G135</f>
        <v>#DIV/0!</v>
      </c>
      <c r="I135" s="24">
        <f>SUM(I105:I133)</f>
        <v>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4.25" customHeight="1" x14ac:dyDescent="0.3">
      <c r="A136" s="1"/>
      <c r="B136" s="17"/>
      <c r="C136" s="15"/>
      <c r="D136" s="16"/>
      <c r="E136" s="16"/>
      <c r="F136" s="16"/>
      <c r="G136" s="16"/>
      <c r="H136" s="16"/>
      <c r="I136" s="1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4.25" customHeight="1" x14ac:dyDescent="0.3">
      <c r="A137" s="1"/>
      <c r="B137" s="44"/>
      <c r="C137" s="45"/>
      <c r="D137" s="46"/>
      <c r="E137" s="46"/>
      <c r="F137" s="46"/>
      <c r="G137" s="46"/>
      <c r="H137" s="46"/>
      <c r="I137" s="4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 x14ac:dyDescent="0.3">
      <c r="A139" s="47">
        <v>1</v>
      </c>
      <c r="B139" s="47" t="s">
        <v>45</v>
      </c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</row>
    <row r="140" spans="1:20" ht="14.25" customHeight="1" x14ac:dyDescent="0.3">
      <c r="A140" s="47"/>
      <c r="B140" s="48" t="s">
        <v>46</v>
      </c>
      <c r="C140" s="47"/>
      <c r="D140" s="47">
        <f t="shared" ref="D140:I140" si="17">+D36</f>
        <v>0</v>
      </c>
      <c r="E140" s="47">
        <f t="shared" si="17"/>
        <v>0</v>
      </c>
      <c r="F140" s="47">
        <f t="shared" si="17"/>
        <v>0</v>
      </c>
      <c r="G140" s="47">
        <f t="shared" si="17"/>
        <v>0</v>
      </c>
      <c r="H140" s="47">
        <f t="shared" si="17"/>
        <v>0</v>
      </c>
      <c r="I140" s="47">
        <f t="shared" si="17"/>
        <v>0</v>
      </c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</row>
    <row r="141" spans="1:20" ht="14.25" customHeight="1" x14ac:dyDescent="0.3">
      <c r="A141" s="47"/>
      <c r="B141" s="48" t="s">
        <v>47</v>
      </c>
      <c r="C141" s="47"/>
      <c r="D141" s="47">
        <f t="shared" ref="D141:I141" si="18">+D68</f>
        <v>0</v>
      </c>
      <c r="E141" s="47">
        <f t="shared" si="18"/>
        <v>0</v>
      </c>
      <c r="F141" s="47">
        <f t="shared" si="18"/>
        <v>0</v>
      </c>
      <c r="G141" s="47">
        <f t="shared" si="18"/>
        <v>0</v>
      </c>
      <c r="H141" s="47">
        <f t="shared" si="18"/>
        <v>0</v>
      </c>
      <c r="I141" s="47">
        <f t="shared" si="18"/>
        <v>0</v>
      </c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</row>
    <row r="142" spans="1:20" ht="14.25" customHeight="1" x14ac:dyDescent="0.3">
      <c r="A142" s="47"/>
      <c r="B142" s="48" t="s">
        <v>48</v>
      </c>
      <c r="C142" s="47"/>
      <c r="D142" s="49">
        <f t="shared" ref="D142:I142" si="19">+D140-D141</f>
        <v>0</v>
      </c>
      <c r="E142" s="49">
        <f t="shared" si="19"/>
        <v>0</v>
      </c>
      <c r="F142" s="49">
        <f t="shared" si="19"/>
        <v>0</v>
      </c>
      <c r="G142" s="49">
        <f t="shared" si="19"/>
        <v>0</v>
      </c>
      <c r="H142" s="49">
        <f t="shared" si="19"/>
        <v>0</v>
      </c>
      <c r="I142" s="49">
        <f t="shared" si="19"/>
        <v>0</v>
      </c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</row>
    <row r="143" spans="1:20" ht="14.25" customHeight="1" x14ac:dyDescent="0.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</row>
    <row r="144" spans="1:20" ht="14.25" customHeight="1" x14ac:dyDescent="0.3">
      <c r="A144" s="47">
        <v>2</v>
      </c>
      <c r="B144" s="47" t="s">
        <v>49</v>
      </c>
      <c r="C144" s="47"/>
      <c r="D144" s="47">
        <f t="shared" ref="D144:I144" si="20">+D101</f>
        <v>0</v>
      </c>
      <c r="E144" s="47">
        <f t="shared" si="20"/>
        <v>0</v>
      </c>
      <c r="F144" s="47">
        <f t="shared" si="20"/>
        <v>0</v>
      </c>
      <c r="G144" s="47">
        <f t="shared" si="20"/>
        <v>0</v>
      </c>
      <c r="H144" s="47">
        <f t="shared" si="20"/>
        <v>0</v>
      </c>
      <c r="I144" s="47">
        <f t="shared" si="20"/>
        <v>0</v>
      </c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</row>
    <row r="145" spans="1:20" ht="14.25" customHeight="1" x14ac:dyDescent="0.3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</row>
    <row r="146" spans="1:20" ht="14.25" customHeight="1" x14ac:dyDescent="0.3">
      <c r="A146" s="47">
        <v>3</v>
      </c>
      <c r="B146" s="47" t="s">
        <v>50</v>
      </c>
      <c r="C146" s="47"/>
      <c r="D146" s="47">
        <f t="shared" ref="D146:I146" si="21">+D144+D141</f>
        <v>0</v>
      </c>
      <c r="E146" s="47">
        <f t="shared" si="21"/>
        <v>0</v>
      </c>
      <c r="F146" s="47">
        <f t="shared" si="21"/>
        <v>0</v>
      </c>
      <c r="G146" s="47">
        <f t="shared" si="21"/>
        <v>0</v>
      </c>
      <c r="H146" s="47">
        <f t="shared" si="21"/>
        <v>0</v>
      </c>
      <c r="I146" s="47">
        <f t="shared" si="21"/>
        <v>0</v>
      </c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</row>
    <row r="147" spans="1:20" ht="14.25" customHeight="1" x14ac:dyDescent="0.3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</row>
    <row r="148" spans="1:20" ht="14.25" customHeight="1" x14ac:dyDescent="0.3">
      <c r="A148" s="47">
        <v>4</v>
      </c>
      <c r="B148" s="50" t="s">
        <v>51</v>
      </c>
      <c r="C148" s="10"/>
      <c r="D148" s="51" t="b">
        <f t="shared" ref="D148:I148" si="22">D146=D135</f>
        <v>1</v>
      </c>
      <c r="E148" s="51" t="e">
        <f t="shared" si="22"/>
        <v>#DIV/0!</v>
      </c>
      <c r="F148" s="51" t="b">
        <f t="shared" si="22"/>
        <v>1</v>
      </c>
      <c r="G148" s="51" t="b">
        <f t="shared" si="22"/>
        <v>1</v>
      </c>
      <c r="H148" s="51" t="e">
        <f t="shared" si="22"/>
        <v>#DIV/0!</v>
      </c>
      <c r="I148" s="51" t="b">
        <f t="shared" si="22"/>
        <v>1</v>
      </c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</row>
    <row r="149" spans="1:20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 x14ac:dyDescent="0.3">
      <c r="A151" s="1"/>
      <c r="B151" s="52"/>
      <c r="C151" s="1" t="s">
        <v>52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 x14ac:dyDescent="0.3">
      <c r="A152" s="1"/>
      <c r="B152" s="53"/>
      <c r="C152" s="1" t="s">
        <v>53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ht="15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ht="15.75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ht="15.75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ht="15.75" customHeigh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ht="15.75" customHeigh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ht="15.75" customHeigh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ht="15.75" customHeigh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ht="15.75" customHeigh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ht="15.75" customHeigh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ht="15.75" customHeigh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ht="15.75" customHeigh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ht="15.75" customHeigh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ht="15.75" customHeigh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ht="15.75" customHeight="1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ht="15.75" customHeight="1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ht="15.75" customHeight="1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ht="15.75" customHeight="1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ht="15.75" customHeight="1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ht="15.75" customHeight="1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ht="15.75" customHeight="1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ht="15.75" customHeight="1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ht="15.75" customHeight="1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ht="15.75" customHeight="1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ht="15.75" customHeight="1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ht="15.75" customHeight="1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ht="15.75" customHeight="1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ht="15.75" customHeight="1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ht="15.75" customHeight="1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ht="15.75" customHeight="1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ht="15.75" customHeight="1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ht="15.75" customHeight="1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ht="15.75" customHeight="1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ht="15.75" customHeight="1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ht="15.75" customHeight="1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ht="15.75" customHeight="1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ht="15.75" customHeight="1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ht="15.75" customHeight="1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ht="15.75" customHeight="1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</sheetData>
  <mergeCells count="7">
    <mergeCell ref="B148:C148"/>
    <mergeCell ref="B3:C5"/>
    <mergeCell ref="D3:F3"/>
    <mergeCell ref="G3:I3"/>
    <mergeCell ref="D4:F4"/>
    <mergeCell ref="G4:I4"/>
    <mergeCell ref="B36:C36"/>
  </mergeCells>
  <conditionalFormatting sqref="D148:I1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RSC 8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Rohmatulloh</dc:creator>
  <cp:lastModifiedBy>Bagas Rohmatulloh</cp:lastModifiedBy>
  <dcterms:created xsi:type="dcterms:W3CDTF">2026-07-03T01:54:13Z</dcterms:created>
  <dcterms:modified xsi:type="dcterms:W3CDTF">2026-07-03T01:55:11Z</dcterms:modified>
</cp:coreProperties>
</file>